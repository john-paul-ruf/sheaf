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Jobs" sheetId="1" r:id="rId1"/>
    <sheet name="Summary" sheetId="2" r:id="rId2"/>
    <sheet name="Stock" sheetId="3" r:id="rId3"/>
  </sheets>
</workbook>
</file>

<file path=xl/sharedStrings.xml><?xml version="1.0" encoding="utf-8"?>
<sst xmlns="http://schemas.openxmlformats.org/spreadsheetml/2006/main" count="23" uniqueCount="22">
  <si>
    <t>Job</t>
  </si>
  <si>
    <t>Quoted</t>
  </si>
  <si>
    <t>Paid</t>
  </si>
  <si>
    <t>Balance</t>
  </si>
  <si>
    <t>Checked</t>
  </si>
  <si>
    <t>Lucky</t>
  </si>
  <si>
    <t>Rate</t>
  </si>
  <si>
    <t>Mixed</t>
  </si>
  <si>
    <t>J-1</t>
  </si>
  <si>
    <t>J-2</t>
  </si>
  <si>
    <t>J-3</t>
  </si>
  <si>
    <t>J-4</t>
  </si>
  <si>
    <t>J-5</t>
  </si>
  <si>
    <t>Total</t>
  </si>
  <si>
    <t>Loop A</t>
  </si>
  <si>
    <t>Loop B</t>
  </si>
  <si>
    <t>Quoted total</t>
  </si>
  <si>
    <t>Material</t>
  </si>
  <si>
    <t>Qty</t>
  </si>
  <si>
    <t>Gravel</t>
  </si>
  <si>
    <t>Sand</t>
  </si>
  <si>
    <t>Mulch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</si>
</sst>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JobsTable" displayName="JobsTable" ref="A1:H7" totalsRowCount="1">
  <tableColumns count="8">
    <tableColumn id="1" name="Job"/>
    <tableColumn id="2" name="Quoted"/>
    <tableColumn id="3" name="Paid"/>
    <tableColumn id="4" name="Balance"/>
    <tableColumn id="5" name="Checked"/>
    <tableColumn id="6" name="Lucky"/>
    <tableColumn id="7" name="Rate"/>
    <tableColumn id="8" name="Mixed"/>
  </tableColumns>
  <tableStyleInfo name="TableStyleMedium2" showRowStripes="1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400</v>
      </c>
      <c r="C2">
        <v>100</v>
      </c>
      <c r="D2">
        <f>B2-C2</f>
        <v>300</v>
      </c>
      <c r="E2" s="1">
        <f>TODAY()</f>
        <v>45566</v>
      </c>
      <c r="F2">
        <f>RAND()</f>
        <v>0.42</v>
      </c>
      <c r="G2">
        <f>OFFSET(B2,0,0)</f>
        <v>400</v>
      </c>
      <c r="H2">
        <f>B2*2</f>
        <v>800</v>
      </c>
    </row>
    <row r="3">
      <c r="A3" t="s">
        <v>9</v>
      </c>
      <c r="B3">
        <v>250</v>
      </c>
      <c r="C3">
        <v>250</v>
      </c>
      <c r="D3">
        <f>B3-C3</f>
        <v>0</v>
      </c>
      <c r="E3" s="1">
        <f>TODAY()</f>
        <v>45566</v>
      </c>
      <c r="F3">
        <f>RAND()</f>
        <v>0.17</v>
      </c>
      <c r="G3">
        <f>OFFSET(B3,0,0)</f>
        <v>250</v>
      </c>
      <c r="H3">
        <f>B3*2</f>
        <v>500</v>
      </c>
    </row>
    <row r="4">
      <c r="A4" t="s">
        <v>10</v>
      </c>
      <c r="B4">
        <v>900</v>
      </c>
      <c r="C4">
        <v>300</v>
      </c>
      <c r="D4">
        <f>B4-C4</f>
        <v>600</v>
      </c>
      <c r="E4" s="1">
        <f>TODAY()</f>
        <v>45566</v>
      </c>
      <c r="F4">
        <f>RAND()</f>
        <v>0.93</v>
      </c>
      <c r="G4">
        <f>OFFSET(B4,0,0)</f>
        <v>900</v>
      </c>
      <c r="H4">
        <f>B4*2</f>
        <v>1800</v>
      </c>
    </row>
    <row r="5">
      <c r="A5" t="s">
        <v>11</v>
      </c>
      <c r="B5">
        <v>120</v>
      </c>
      <c r="C5">
        <v>0</v>
      </c>
      <c r="D5">
        <f>B5-C5</f>
        <v>120</v>
      </c>
      <c r="E5" s="1">
        <f>TODAY()</f>
        <v>45566</v>
      </c>
      <c r="F5">
        <f>RAND()</f>
        <v>0.08</v>
      </c>
      <c r="G5">
        <f>OFFSET(B5,0,0)</f>
        <v>120</v>
      </c>
      <c r="H5">
        <f>B5*2</f>
        <v>240</v>
      </c>
    </row>
    <row r="6">
      <c r="A6" t="s">
        <v>12</v>
      </c>
      <c r="B6">
        <v>610</v>
      </c>
      <c r="C6">
        <v>10</v>
      </c>
      <c r="D6">
        <f>B6-C6</f>
        <v>600</v>
      </c>
      <c r="E6" s="1">
        <f>TODAY()</f>
        <v>45566</v>
      </c>
      <c r="F6">
        <f>RAND()</f>
        <v>0.61</v>
      </c>
      <c r="G6">
        <f>OFFSET(B6,0,0)</f>
        <v>610</v>
      </c>
      <c r="H6">
        <f>B6*3</f>
        <v>1830</v>
      </c>
    </row>
    <row r="7">
      <c r="A7" t="s">
        <v>13</v>
      </c>
      <c r="B7">
        <f>SUM(JobsTable[Quoted])</f>
        <v>2280</v>
      </c>
    </row>
  </sheetData>
  <dataValidations count="1">
    <dataValidation type="whole" operator="greaterThanOrEqual" allowBlank="1" sqref="B2:B6">
      <formula1>0</formula1>
    </dataValidation>
  </dataValidation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>
      <c r="A1" t="s">
        <v>14</v>
      </c>
      <c r="B1">
        <f>B2+1</f>
        <v>0</v>
      </c>
    </row>
    <row r="2">
      <c r="A2" t="s">
        <v>15</v>
      </c>
      <c r="B2">
        <f>B1+1</f>
        <v>0</v>
      </c>
    </row>
    <row r="3">
      <c r="A3" t="s">
        <v>16</v>
      </c>
      <c r="B3">
        <f>SUM(Jobs!B2:B6)</f>
        <v>2280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>
      <c r="A1" t="s">
        <v>17</v>
      </c>
      <c r="B1" t="s">
        <v>18</v>
      </c>
    </row>
    <row r="2">
      <c r="A2" t="s">
        <v>19</v>
      </c>
      <c r="B2">
        <v>12</v>
      </c>
    </row>
    <row r="3">
      <c r="A3" t="s">
        <v>20</v>
      </c>
      <c r="B3">
        <v>4</v>
      </c>
    </row>
    <row r="4">
      <c r="A4" t="s">
        <v>21</v>
      </c>
      <c r="B4">
        <v>9</v>
      </c>
    </row>
    <row r="5">
      <c r="A5" t="s">
        <v>13</v>
      </c>
      <c r="B5">
        <f>SUM(B2:B4)</f>
        <v>25</v>
      </c>
    </row>
  </sheetData>
</worksheet>
</file>